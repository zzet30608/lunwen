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8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<sst xmlns="http://schemas.openxmlformats.org/spreadsheetml/2006/main" count="99" uniqueCount="76">
  <si>
    <t>【OPTICALCIRCUIT-ADD-240228174728582-00705】【白云区】【大CRAN】【广州市白云米岗村微网格业务汇聚机房1（7900）】广州白云区米岗村西DC-ZFH-组网方案</t>
  </si>
  <si>
    <t>流水号</t>
  </si>
  <si>
    <t>调单号</t>
  </si>
  <si>
    <t>调单类型</t>
  </si>
  <si>
    <t>新增</t>
  </si>
  <si>
    <t>调单紧急情况</t>
  </si>
  <si>
    <t>序号</t>
  </si>
  <si>
    <t>系统名称</t>
  </si>
  <si>
    <t>光路编号</t>
  </si>
  <si>
    <t>速率</t>
  </si>
  <si>
    <t>A端站点</t>
  </si>
  <si>
    <t>A端机房</t>
  </si>
  <si>
    <t>A端端局</t>
  </si>
  <si>
    <t>A端网元</t>
  </si>
  <si>
    <t>A端端口</t>
  </si>
  <si>
    <t>ODF</t>
  </si>
  <si>
    <t>光缆名称</t>
  </si>
  <si>
    <t>无线设备端口</t>
  </si>
  <si>
    <t>Z端SPN设备口</t>
  </si>
  <si>
    <t>Z端网元</t>
  </si>
  <si>
    <t>全程理论距离/KM（填写）</t>
  </si>
  <si>
    <t>中间跳纤点数+头尾2个跳纤点数量/个（填写）</t>
  </si>
  <si>
    <t>全程衰耗理论值/db（自动生成）</t>
  </si>
  <si>
    <t>cran的标准，要算上基站和汇聚机房的跳纤点，全程不能超过7db的损耗（自动生成）</t>
  </si>
  <si>
    <t>1</t>
  </si>
  <si>
    <t>广州白云区米岗村西DC-ZFH-米岗村微网格综合接入机房1</t>
  </si>
  <si>
    <t>广州白云区米岗村西DC-ZFH</t>
  </si>
  <si>
    <t>A01</t>
  </si>
  <si>
    <t>广州白云区良田村良沙路D-ZRH 48芯光缆[本期新建]</t>
  </si>
  <si>
    <t>新成端，现场反馈</t>
  </si>
  <si>
    <t>米岗村(黄庄)GJ01-1C-001</t>
  </si>
  <si>
    <t>米岗村(何庄)GJ01-米岗村米岗东路GJ02144芯配线光缆单项工程 已验收 剩6芯</t>
  </si>
  <si>
    <t>米岗中路-米岗西路GJ01-1L-001</t>
  </si>
  <si>
    <t>米岗中路-米岗西路GJ01-1J-001</t>
  </si>
  <si>
    <t>米岗村(何庄)GJ01-米岗村米岗东路GJ02144芯配线光缆单项工程 已验收 剩22芯</t>
  </si>
  <si>
    <t>米岗村微网格综合接入机房1/ODF/B08-M03-F-001</t>
  </si>
  <si>
    <t>现场反馈</t>
  </si>
  <si>
    <t>广州市白云米岗村微网格业务汇聚机房1（7900）</t>
  </si>
  <si>
    <t>A02</t>
  </si>
  <si>
    <t>米岗村(黄庄)GJ01-1C-002</t>
  </si>
  <si>
    <t>米岗中路-米岗西路GJ01-1L-002</t>
  </si>
  <si>
    <t>米岗中路-米岗西路GJ01-1J-002</t>
  </si>
  <si>
    <t>米岗村微网格综合接入机房1/ODF/B08-M03-F-002</t>
  </si>
  <si>
    <t>A03</t>
  </si>
  <si>
    <t>米岗村(黄庄)GJ01-1C-003</t>
  </si>
  <si>
    <t>米岗中路-米岗西路GJ01-1L-003</t>
  </si>
  <si>
    <t>米岗中路-米岗西路GJ01-1J-003</t>
  </si>
  <si>
    <t>米岗村微网格综合接入机房1/ODF/B08-M03-F-003</t>
  </si>
  <si>
    <t>A04</t>
  </si>
  <si>
    <t>米岗村(黄庄)GJ01-1C-004</t>
  </si>
  <si>
    <t>米岗中路-米岗西路GJ01-1L-004</t>
  </si>
  <si>
    <t>米岗中路-米岗西路GJ01-1J-004</t>
  </si>
  <si>
    <t>米岗村微网格综合接入机房1/ODF/B08-M03-F-004</t>
  </si>
  <si>
    <t>A05</t>
  </si>
  <si>
    <t>米岗村(黄庄)GJ01-1C-005</t>
  </si>
  <si>
    <t>米岗中路-米岗西路GJ01-1L-005</t>
  </si>
  <si>
    <t>米岗中路-米岗西路GJ01-1J-005</t>
  </si>
  <si>
    <t>米岗村微网格综合接入机房1/ODF/B08-M03-F-005</t>
  </si>
  <si>
    <t>A06</t>
  </si>
  <si>
    <t>米岗村(黄庄)GJ01-1C-006</t>
  </si>
  <si>
    <t>米岗中路-米岗西路GJ01-1L-006</t>
  </si>
  <si>
    <t>米岗中路-米岗西路GJ01-1J-006</t>
  </si>
  <si>
    <t>米岗村微网格综合接入机房1/ODF/B08-M03-F-006</t>
  </si>
  <si>
    <t>距离（米）：</t>
  </si>
  <si>
    <t>米岗村(黄庄)GJ01</t>
  </si>
  <si>
    <t xml:space="preserve">米岗中路-米岗西路GJ01               </t>
  </si>
  <si>
    <t>米岗村微网格综合接入机房1</t>
  </si>
  <si>
    <t>填单人及负责人</t>
  </si>
  <si>
    <t>林 18927926004</t>
  </si>
  <si>
    <t>日期</t>
  </si>
  <si>
    <t>现场实施人联系方式</t>
  </si>
  <si>
    <t>注：1、由该路由的起点机房维护人员负责该单全程调通，并且反馈全程路由的长度和衰耗等信息</t>
  </si>
  <si>
    <r>
      <rPr>
        <sz val="10"/>
        <color indexed="8"/>
        <rFont val="宋体"/>
        <charset val="134"/>
      </rPr>
      <t>2、所有涉及的跳纤标签请按照</t>
    </r>
    <r>
      <rPr>
        <sz val="10"/>
        <color indexed="10"/>
        <rFont val="宋体"/>
        <charset val="134"/>
      </rPr>
      <t>系统名称</t>
    </r>
    <r>
      <rPr>
        <sz val="10"/>
        <color indexed="8"/>
        <rFont val="宋体"/>
        <charset val="134"/>
      </rPr>
      <t>来填写系统名称，同时必须加上“本端”和“对端”等信息</t>
    </r>
  </si>
  <si>
    <t>3、请按照规定的时间调通全程路由，并且反馈该单。</t>
  </si>
  <si>
    <r>
      <rPr>
        <sz val="10"/>
        <color indexed="8"/>
        <rFont val="宋体"/>
        <charset val="134"/>
      </rPr>
      <t>4、如果路由有修改请通知起点机房维护人员，修改资料，</t>
    </r>
    <r>
      <rPr>
        <sz val="10"/>
        <color indexed="10"/>
        <rFont val="宋体"/>
        <charset val="134"/>
      </rPr>
      <t>同时注明每个端口更改的原因。</t>
    </r>
  </si>
  <si>
    <t>5、请工程施工人员严格按照该施工单的端口使用该光路，并且做好施工所跳尾纤的标签。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</si>
</sst>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8"/>
      <color indexed="10"/>
      <name val="宋体"/>
      <charset val="134"/>
    </font>
    <font>
      <sz val="10"/>
      <color rgb="FFFF0000"/>
      <name val="宋体"/>
      <charset val="134"/>
    </font>
    <font>
      <b/>
      <sz val="13.5"/>
      <color indexed="8"/>
      <name val="宋体"/>
      <charset val="134"/>
    </font>
    <font>
      <sz val="10"/>
      <color indexed="10"/>
      <name val="宋体"/>
      <charset val="134"/>
    </font>
    <font>
      <b/>
      <sz val="11"/>
      <color indexed="10"/>
      <name val="宋体"/>
      <charset val="134"/>
    </font>
    <font>
      <b/>
      <sz val="10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indexed="23"/>
      </left>
      <right style="thin">
        <color indexed="23"/>
      </right>
      <top style="medium">
        <color indexed="23"/>
      </top>
      <bottom/>
      <diagonal/>
    </border>
    <border>
      <left style="thin">
        <color indexed="23"/>
      </left>
      <right/>
      <top style="medium">
        <color indexed="23"/>
      </top>
      <bottom/>
      <diagonal/>
    </border>
    <border>
      <left/>
      <right/>
      <top style="medium">
        <color indexed="23"/>
      </top>
      <bottom/>
      <diagonal/>
    </border>
    <border>
      <left/>
      <right style="thin">
        <color indexed="23"/>
      </right>
      <top style="medium">
        <color indexed="23"/>
      </top>
      <bottom/>
      <diagonal/>
    </border>
    <border>
      <left style="thin">
        <color indexed="23"/>
      </left>
      <right style="thin">
        <color indexed="23"/>
      </right>
      <top style="medium">
        <color indexed="2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auto="1"/>
      </right>
      <top style="medium">
        <color indexed="2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17" applyNumberFormat="0" applyAlignment="0" applyProtection="0">
      <alignment vertical="center"/>
    </xf>
    <xf numFmtId="0" fontId="20" fillId="8" borderId="18" applyNumberFormat="0" applyAlignment="0" applyProtection="0">
      <alignment vertical="center"/>
    </xf>
    <xf numFmtId="0" fontId="21" fillId="8" borderId="17" applyNumberFormat="0" applyAlignment="0" applyProtection="0">
      <alignment vertical="center"/>
    </xf>
    <xf numFmtId="0" fontId="22" fillId="9" borderId="19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49" fontId="3" fillId="0" borderId="6" xfId="0" applyNumberFormat="1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vertical="center"/>
    </xf>
    <xf numFmtId="0" fontId="9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305435</xdr:colOff>
      <xdr:row>1</xdr:row>
      <xdr:rowOff>305435</xdr:rowOff>
    </xdr:to>
    <xdr:pic>
      <xdr:nvPicPr>
        <xdr:cNvPr id="2" name="Picture 2" descr="http://localhost:92/image/mobiles.jpg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1450"/>
          <a:ext cx="305435" cy="305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831215</xdr:colOff>
      <xdr:row>12</xdr:row>
      <xdr:rowOff>78105</xdr:rowOff>
    </xdr:from>
    <xdr:to>
      <xdr:col>15</xdr:col>
      <xdr:colOff>626110</xdr:colOff>
      <xdr:row>12</xdr:row>
      <xdr:rowOff>277495</xdr:rowOff>
    </xdr:to>
    <xdr:sp>
      <xdr:nvSpPr>
        <xdr:cNvPr id="5" name="AutoShape 4"/>
        <xdr:cNvSpPr/>
      </xdr:nvSpPr>
      <xdr:spPr>
        <a:xfrm>
          <a:off x="14549755" y="6101080"/>
          <a:ext cx="1390650" cy="199390"/>
        </a:xfrm>
        <a:prstGeom prst="curvedUpArrow">
          <a:avLst>
            <a:gd name="adj1" fmla="val 67387"/>
            <a:gd name="adj2" fmla="val 134678"/>
            <a:gd name="adj3" fmla="val 33259"/>
          </a:avLst>
        </a:prstGeom>
        <a:solidFill>
          <a:srgbClr val="FFFFFF">
            <a:alpha val="100000"/>
          </a:srgbClr>
        </a:solidFill>
        <a:ln w="9525" cap="flat" cmpd="sng">
          <a:solidFill>
            <a:srgbClr val="000000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17</xdr:col>
      <xdr:colOff>916940</xdr:colOff>
      <xdr:row>12</xdr:row>
      <xdr:rowOff>67310</xdr:rowOff>
    </xdr:from>
    <xdr:to>
      <xdr:col>18</xdr:col>
      <xdr:colOff>711835</xdr:colOff>
      <xdr:row>12</xdr:row>
      <xdr:rowOff>266700</xdr:rowOff>
    </xdr:to>
    <xdr:sp>
      <xdr:nvSpPr>
        <xdr:cNvPr id="13" name="AutoShape 4"/>
        <xdr:cNvSpPr/>
      </xdr:nvSpPr>
      <xdr:spPr>
        <a:xfrm>
          <a:off x="19422745" y="6090285"/>
          <a:ext cx="1390650" cy="199390"/>
        </a:xfrm>
        <a:prstGeom prst="curvedUpArrow">
          <a:avLst>
            <a:gd name="adj1" fmla="val 67387"/>
            <a:gd name="adj2" fmla="val 134678"/>
            <a:gd name="adj3" fmla="val 33259"/>
          </a:avLst>
        </a:prstGeom>
        <a:solidFill>
          <a:srgbClr val="FFFFFF">
            <a:alpha val="100000"/>
          </a:srgbClr>
        </a:solidFill>
        <a:ln w="9525" cap="flat" cmpd="sng">
          <a:solidFill>
            <a:srgbClr val="000000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14</xdr:col>
      <xdr:colOff>833120</xdr:colOff>
      <xdr:row>12</xdr:row>
      <xdr:rowOff>62865</xdr:rowOff>
    </xdr:from>
    <xdr:to>
      <xdr:col>15</xdr:col>
      <xdr:colOff>628015</xdr:colOff>
      <xdr:row>12</xdr:row>
      <xdr:rowOff>262255</xdr:rowOff>
    </xdr:to>
    <xdr:sp>
      <xdr:nvSpPr>
        <xdr:cNvPr id="11" name="AutoShape 4"/>
        <xdr:cNvSpPr/>
      </xdr:nvSpPr>
      <xdr:spPr>
        <a:xfrm>
          <a:off x="14551660" y="6085840"/>
          <a:ext cx="1390650" cy="199390"/>
        </a:xfrm>
        <a:prstGeom prst="curvedUpArrow">
          <a:avLst>
            <a:gd name="adj1" fmla="val 67387"/>
            <a:gd name="adj2" fmla="val 134678"/>
            <a:gd name="adj3" fmla="val 33259"/>
          </a:avLst>
        </a:prstGeom>
        <a:solidFill>
          <a:srgbClr val="FFFFFF">
            <a:alpha val="100000"/>
          </a:srgbClr>
        </a:solidFill>
        <a:ln w="9525" cap="flat" cmpd="sng">
          <a:solidFill>
            <a:srgbClr val="000000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1047750</xdr:colOff>
      <xdr:row>12</xdr:row>
      <xdr:rowOff>62865</xdr:rowOff>
    </xdr:from>
    <xdr:to>
      <xdr:col>12</xdr:col>
      <xdr:colOff>842645</xdr:colOff>
      <xdr:row>12</xdr:row>
      <xdr:rowOff>262255</xdr:rowOff>
    </xdr:to>
    <xdr:sp>
      <xdr:nvSpPr>
        <xdr:cNvPr id="12" name="AutoShape 4"/>
        <xdr:cNvSpPr/>
      </xdr:nvSpPr>
      <xdr:spPr>
        <a:xfrm>
          <a:off x="10122535" y="6085840"/>
          <a:ext cx="1405255" cy="199390"/>
        </a:xfrm>
        <a:prstGeom prst="curvedUpArrow">
          <a:avLst>
            <a:gd name="adj1" fmla="val 67387"/>
            <a:gd name="adj2" fmla="val 134678"/>
            <a:gd name="adj3" fmla="val 33259"/>
          </a:avLst>
        </a:prstGeom>
        <a:solidFill>
          <a:srgbClr val="FFFFFF">
            <a:alpha val="100000"/>
          </a:srgbClr>
        </a:solidFill>
        <a:ln w="9525" cap="flat" cmpd="sng">
          <a:solidFill>
            <a:srgbClr val="000000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 editAs="oneCell">
    <xdr:from>
      <xdr:col>11</xdr:col>
      <xdr:colOff>1598295</xdr:colOff>
      <xdr:row>26</xdr:row>
      <xdr:rowOff>107315</xdr:rowOff>
    </xdr:from>
    <xdr:to>
      <xdr:col>17</xdr:col>
      <xdr:colOff>349885</xdr:colOff>
      <xdr:row>28</xdr:row>
      <xdr:rowOff>59690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673080" y="9397365"/>
          <a:ext cx="8182610" cy="295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274955</xdr:colOff>
      <xdr:row>29</xdr:row>
      <xdr:rowOff>22860</xdr:rowOff>
    </xdr:from>
    <xdr:to>
      <xdr:col>17</xdr:col>
      <xdr:colOff>493395</xdr:colOff>
      <xdr:row>30</xdr:row>
      <xdr:rowOff>137160</xdr:rowOff>
    </xdr:to>
    <xdr:pic>
      <xdr:nvPicPr>
        <xdr:cNvPr id="10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960100" y="9827260"/>
          <a:ext cx="8039100" cy="285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A33"/>
  <sheetViews>
    <sheetView tabSelected="1" zoomScale="55" zoomScaleNormal="55" workbookViewId="0">
      <selection activeCell="AG7" sqref="AG7"/>
    </sheetView>
  </sheetViews>
  <sheetFormatPr defaultColWidth="9" defaultRowHeight="13.5"/>
  <cols>
    <col min="1" max="1" width="6.38333333333333" style="1" customWidth="1"/>
    <col min="2" max="2" width="20.1333333333333" style="1" customWidth="1"/>
    <col min="3" max="3" width="8" style="1"/>
    <col min="4" max="4" width="4.75" style="1" customWidth="1"/>
    <col min="5" max="5" width="15.25" style="1" customWidth="1"/>
    <col min="6" max="7" width="7.25" style="1"/>
    <col min="8" max="8" width="8" style="1" customWidth="1"/>
    <col min="9" max="9" width="7.25" style="1" customWidth="1"/>
    <col min="10" max="10" width="19.4416666666667" style="1" customWidth="1"/>
    <col min="11" max="11" width="15.3833333333333" style="1" customWidth="1"/>
    <col min="12" max="12" width="21.1333333333333" style="1" customWidth="1"/>
    <col min="13" max="13" width="20.5" style="1" customWidth="1"/>
    <col min="14" max="14" width="19.3083333333333" style="1" customWidth="1"/>
    <col min="15" max="22" width="20.9416666666667" style="1" customWidth="1"/>
    <col min="23" max="26" width="19" style="1" customWidth="1"/>
    <col min="27" max="27" width="28.8833333333333" style="1" customWidth="1"/>
    <col min="28" max="16384" width="9" style="1"/>
  </cols>
  <sheetData>
    <row r="2" s="1" customFormat="1" ht="57" customHeight="1" spans="1:27">
      <c r="A2" s="4"/>
      <c r="B2" s="5"/>
      <c r="C2" s="5"/>
      <c r="D2" s="5"/>
      <c r="E2" s="5"/>
      <c r="F2" s="6" t="s">
        <v>0</v>
      </c>
      <c r="G2" s="6"/>
      <c r="H2" s="6"/>
      <c r="I2" s="6"/>
      <c r="J2" s="6"/>
      <c r="K2" s="6"/>
      <c r="L2" s="6"/>
      <c r="M2" s="6"/>
      <c r="N2" s="21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 s="1" customFormat="1" ht="22.5" customHeight="1" spans="1:27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="1" customFormat="1" ht="16.5" customHeight="1" spans="1:27">
      <c r="A4" s="8" t="s">
        <v>1</v>
      </c>
      <c r="B4" s="4"/>
      <c r="C4" s="4"/>
      <c r="D4" s="4"/>
      <c r="E4" s="4"/>
      <c r="F4" s="4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="1" customFormat="1" spans="1:27">
      <c r="A5" s="10" t="s">
        <v>2</v>
      </c>
      <c r="B5" s="11"/>
      <c r="C5" s="12"/>
      <c r="D5" s="12"/>
      <c r="E5" s="12"/>
      <c r="F5" s="12"/>
      <c r="G5" s="13"/>
      <c r="H5" s="14" t="s">
        <v>3</v>
      </c>
      <c r="I5" s="23" t="s">
        <v>4</v>
      </c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47" t="s">
        <v>5</v>
      </c>
    </row>
    <row r="6" s="2" customFormat="1" ht="26.25" customHeight="1" spans="1:27">
      <c r="A6" s="15" t="s">
        <v>6</v>
      </c>
      <c r="B6" s="15" t="s">
        <v>7</v>
      </c>
      <c r="C6" s="15" t="s">
        <v>8</v>
      </c>
      <c r="D6" s="15" t="s">
        <v>9</v>
      </c>
      <c r="E6" s="15" t="s">
        <v>10</v>
      </c>
      <c r="F6" s="15" t="s">
        <v>11</v>
      </c>
      <c r="G6" s="15" t="s">
        <v>12</v>
      </c>
      <c r="H6" s="15" t="s">
        <v>13</v>
      </c>
      <c r="I6" s="15" t="s">
        <v>14</v>
      </c>
      <c r="J6" s="15" t="s">
        <v>15</v>
      </c>
      <c r="K6" s="15" t="s">
        <v>16</v>
      </c>
      <c r="L6" s="15"/>
      <c r="M6" s="15"/>
      <c r="N6" s="15"/>
      <c r="O6" s="15"/>
      <c r="P6" s="15"/>
      <c r="Q6" s="15"/>
      <c r="R6" s="15" t="s">
        <v>15</v>
      </c>
      <c r="S6" s="15" t="s">
        <v>17</v>
      </c>
      <c r="T6" s="15" t="s">
        <v>17</v>
      </c>
      <c r="U6" s="15" t="s">
        <v>18</v>
      </c>
      <c r="V6" s="15" t="s">
        <v>19</v>
      </c>
      <c r="W6" s="15" t="s">
        <v>20</v>
      </c>
      <c r="X6" s="15" t="s">
        <v>21</v>
      </c>
      <c r="Y6" s="15" t="s">
        <v>22</v>
      </c>
      <c r="Z6" s="15" t="s">
        <v>23</v>
      </c>
      <c r="AA6" s="15"/>
    </row>
    <row r="7" s="3" customFormat="1" ht="55" customHeight="1" spans="1:27">
      <c r="A7" s="16" t="s">
        <v>24</v>
      </c>
      <c r="B7" s="15" t="s">
        <v>25</v>
      </c>
      <c r="C7" s="15"/>
      <c r="D7" s="15"/>
      <c r="E7" s="15" t="s">
        <v>26</v>
      </c>
      <c r="F7" s="15"/>
      <c r="G7" s="15"/>
      <c r="H7" s="17"/>
      <c r="I7" s="15"/>
      <c r="J7" s="25" t="s">
        <v>27</v>
      </c>
      <c r="K7" s="26" t="s">
        <v>28</v>
      </c>
      <c r="L7" s="25" t="s">
        <v>29</v>
      </c>
      <c r="M7" s="25" t="s">
        <v>30</v>
      </c>
      <c r="N7" s="27" t="s">
        <v>31</v>
      </c>
      <c r="O7" s="25" t="s">
        <v>32</v>
      </c>
      <c r="P7" s="25" t="s">
        <v>33</v>
      </c>
      <c r="Q7" s="27" t="s">
        <v>34</v>
      </c>
      <c r="R7" s="25" t="s">
        <v>35</v>
      </c>
      <c r="S7" s="43" t="s">
        <v>36</v>
      </c>
      <c r="T7" s="43" t="s">
        <v>36</v>
      </c>
      <c r="U7" s="43" t="s">
        <v>36</v>
      </c>
      <c r="V7" s="15" t="s">
        <v>37</v>
      </c>
      <c r="W7" s="44">
        <v>2.1</v>
      </c>
      <c r="X7" s="44">
        <v>5</v>
      </c>
      <c r="Y7" s="48">
        <f t="shared" ref="Y7:Y12" si="0">0.35*W7+1*X7</f>
        <v>5.735</v>
      </c>
      <c r="Z7" s="48" t="str">
        <f t="shared" ref="Z7:Z12" si="1">IF(Y7&lt;7,"满足","不满足")</f>
        <v>满足</v>
      </c>
      <c r="AA7" s="17"/>
    </row>
    <row r="8" s="3" customFormat="1" ht="50" customHeight="1" spans="1:27">
      <c r="A8" s="16"/>
      <c r="B8" s="15"/>
      <c r="C8" s="15"/>
      <c r="D8" s="15"/>
      <c r="E8" s="15" t="s">
        <v>26</v>
      </c>
      <c r="F8" s="15"/>
      <c r="G8" s="15"/>
      <c r="H8" s="15"/>
      <c r="I8" s="15"/>
      <c r="J8" s="25" t="s">
        <v>38</v>
      </c>
      <c r="K8" s="26"/>
      <c r="L8" s="25" t="s">
        <v>29</v>
      </c>
      <c r="M8" s="25" t="s">
        <v>39</v>
      </c>
      <c r="N8" s="28"/>
      <c r="O8" s="25" t="s">
        <v>40</v>
      </c>
      <c r="P8" s="25" t="s">
        <v>41</v>
      </c>
      <c r="Q8" s="28"/>
      <c r="R8" s="25" t="s">
        <v>42</v>
      </c>
      <c r="S8" s="43" t="s">
        <v>36</v>
      </c>
      <c r="T8" s="43"/>
      <c r="U8" s="43"/>
      <c r="V8" s="15"/>
      <c r="W8" s="44">
        <f t="shared" ref="W8:W12" si="2">W7</f>
        <v>2.1</v>
      </c>
      <c r="X8" s="44">
        <f t="shared" ref="X8:X12" si="3">X7</f>
        <v>5</v>
      </c>
      <c r="Y8" s="48">
        <f t="shared" si="0"/>
        <v>5.735</v>
      </c>
      <c r="Z8" s="48" t="str">
        <f t="shared" si="1"/>
        <v>满足</v>
      </c>
      <c r="AA8" s="17"/>
    </row>
    <row r="9" s="3" customFormat="1" ht="53" customHeight="1" spans="1:27">
      <c r="A9" s="16"/>
      <c r="B9" s="15"/>
      <c r="C9" s="15"/>
      <c r="D9" s="15"/>
      <c r="E9" s="15" t="s">
        <v>26</v>
      </c>
      <c r="F9" s="15"/>
      <c r="G9" s="15"/>
      <c r="H9" s="15"/>
      <c r="I9" s="15"/>
      <c r="J9" s="25" t="s">
        <v>43</v>
      </c>
      <c r="K9" s="26"/>
      <c r="L9" s="25" t="s">
        <v>29</v>
      </c>
      <c r="M9" s="25" t="s">
        <v>44</v>
      </c>
      <c r="N9" s="28"/>
      <c r="O9" s="25" t="s">
        <v>45</v>
      </c>
      <c r="P9" s="25" t="s">
        <v>46</v>
      </c>
      <c r="Q9" s="28"/>
      <c r="R9" s="25" t="s">
        <v>47</v>
      </c>
      <c r="S9" s="43" t="s">
        <v>36</v>
      </c>
      <c r="T9" s="43"/>
      <c r="U9" s="43"/>
      <c r="V9" s="15"/>
      <c r="W9" s="44">
        <f t="shared" si="2"/>
        <v>2.1</v>
      </c>
      <c r="X9" s="44">
        <f t="shared" si="3"/>
        <v>5</v>
      </c>
      <c r="Y9" s="48">
        <f t="shared" si="0"/>
        <v>5.735</v>
      </c>
      <c r="Z9" s="48" t="str">
        <f t="shared" si="1"/>
        <v>满足</v>
      </c>
      <c r="AA9" s="17"/>
    </row>
    <row r="10" s="3" customFormat="1" ht="53" customHeight="1" spans="1:27">
      <c r="A10" s="16"/>
      <c r="B10" s="15"/>
      <c r="C10" s="15"/>
      <c r="D10" s="15"/>
      <c r="E10" s="15" t="s">
        <v>26</v>
      </c>
      <c r="F10" s="15"/>
      <c r="G10" s="15"/>
      <c r="H10" s="15"/>
      <c r="I10" s="15"/>
      <c r="J10" s="25" t="s">
        <v>48</v>
      </c>
      <c r="K10" s="26"/>
      <c r="L10" s="25" t="s">
        <v>29</v>
      </c>
      <c r="M10" s="25" t="s">
        <v>49</v>
      </c>
      <c r="N10" s="28"/>
      <c r="O10" s="25" t="s">
        <v>50</v>
      </c>
      <c r="P10" s="25" t="s">
        <v>51</v>
      </c>
      <c r="Q10" s="28"/>
      <c r="R10" s="25" t="s">
        <v>52</v>
      </c>
      <c r="S10" s="43" t="s">
        <v>36</v>
      </c>
      <c r="T10" s="43"/>
      <c r="U10" s="43"/>
      <c r="V10" s="15"/>
      <c r="W10" s="44">
        <f t="shared" si="2"/>
        <v>2.1</v>
      </c>
      <c r="X10" s="44">
        <f t="shared" si="3"/>
        <v>5</v>
      </c>
      <c r="Y10" s="48">
        <f t="shared" si="0"/>
        <v>5.735</v>
      </c>
      <c r="Z10" s="48" t="str">
        <f t="shared" si="1"/>
        <v>满足</v>
      </c>
      <c r="AA10" s="17"/>
    </row>
    <row r="11" s="3" customFormat="1" ht="58" customHeight="1" spans="1:27">
      <c r="A11" s="16"/>
      <c r="B11" s="15"/>
      <c r="C11" s="15"/>
      <c r="D11" s="15"/>
      <c r="E11" s="15" t="s">
        <v>26</v>
      </c>
      <c r="F11" s="15"/>
      <c r="G11" s="15"/>
      <c r="H11" s="15"/>
      <c r="I11" s="15"/>
      <c r="J11" s="25" t="s">
        <v>53</v>
      </c>
      <c r="K11" s="26"/>
      <c r="L11" s="25" t="s">
        <v>29</v>
      </c>
      <c r="M11" s="25" t="s">
        <v>54</v>
      </c>
      <c r="N11" s="28"/>
      <c r="O11" s="25" t="s">
        <v>55</v>
      </c>
      <c r="P11" s="25" t="s">
        <v>56</v>
      </c>
      <c r="Q11" s="28"/>
      <c r="R11" s="25" t="s">
        <v>57</v>
      </c>
      <c r="S11" s="43" t="s">
        <v>36</v>
      </c>
      <c r="T11" s="43"/>
      <c r="U11" s="43"/>
      <c r="V11" s="15"/>
      <c r="W11" s="44">
        <f t="shared" si="2"/>
        <v>2.1</v>
      </c>
      <c r="X11" s="44">
        <f t="shared" si="3"/>
        <v>5</v>
      </c>
      <c r="Y11" s="48">
        <f t="shared" si="0"/>
        <v>5.735</v>
      </c>
      <c r="Z11" s="48" t="str">
        <f t="shared" si="1"/>
        <v>满足</v>
      </c>
      <c r="AA11" s="17"/>
    </row>
    <row r="12" s="3" customFormat="1" ht="56" customHeight="1" spans="1:27">
      <c r="A12" s="16"/>
      <c r="B12" s="15"/>
      <c r="C12" s="15"/>
      <c r="D12" s="15"/>
      <c r="E12" s="15" t="s">
        <v>26</v>
      </c>
      <c r="F12" s="15"/>
      <c r="G12" s="15"/>
      <c r="H12" s="15"/>
      <c r="I12" s="15"/>
      <c r="J12" s="25" t="s">
        <v>58</v>
      </c>
      <c r="K12" s="26"/>
      <c r="L12" s="25" t="s">
        <v>29</v>
      </c>
      <c r="M12" s="25" t="s">
        <v>59</v>
      </c>
      <c r="N12" s="29"/>
      <c r="O12" s="25" t="s">
        <v>60</v>
      </c>
      <c r="P12" s="25" t="s">
        <v>61</v>
      </c>
      <c r="Q12" s="29"/>
      <c r="R12" s="25" t="s">
        <v>62</v>
      </c>
      <c r="S12" s="43" t="s">
        <v>36</v>
      </c>
      <c r="T12" s="43"/>
      <c r="U12" s="43"/>
      <c r="V12" s="15"/>
      <c r="W12" s="44">
        <f t="shared" si="2"/>
        <v>2.1</v>
      </c>
      <c r="X12" s="44">
        <f t="shared" si="3"/>
        <v>5</v>
      </c>
      <c r="Y12" s="48">
        <f t="shared" si="0"/>
        <v>5.735</v>
      </c>
      <c r="Z12" s="48" t="str">
        <f t="shared" si="1"/>
        <v>满足</v>
      </c>
      <c r="AA12" s="17"/>
    </row>
    <row r="13" s="3" customFormat="1" ht="23.25" customHeight="1" spans="1:27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30" t="s">
        <v>63</v>
      </c>
      <c r="L13" s="31"/>
      <c r="M13" s="32"/>
      <c r="N13" s="30" t="s">
        <v>63</v>
      </c>
      <c r="O13" s="31"/>
      <c r="P13" s="32"/>
      <c r="Q13" s="30" t="s">
        <v>63</v>
      </c>
      <c r="R13" s="31"/>
      <c r="S13" s="45"/>
      <c r="T13" s="15"/>
      <c r="U13" s="15"/>
      <c r="V13" s="15"/>
      <c r="W13" s="15"/>
      <c r="X13" s="15"/>
      <c r="Y13" s="15"/>
      <c r="Z13" s="15"/>
      <c r="AA13" s="15"/>
    </row>
    <row r="14" s="3" customFormat="1" ht="31.5" customHeight="1" spans="1:27">
      <c r="A14" s="15"/>
      <c r="B14" s="15"/>
      <c r="C14" s="15"/>
      <c r="D14" s="15"/>
      <c r="E14" s="15"/>
      <c r="F14" s="15"/>
      <c r="G14" s="15"/>
      <c r="H14" s="15"/>
      <c r="I14" s="15"/>
      <c r="J14" s="15" t="s">
        <v>26</v>
      </c>
      <c r="K14" s="15">
        <v>889</v>
      </c>
      <c r="L14" s="33" t="s">
        <v>64</v>
      </c>
      <c r="M14" s="34"/>
      <c r="N14" s="15">
        <v>500</v>
      </c>
      <c r="O14" s="33" t="s">
        <v>65</v>
      </c>
      <c r="P14" s="34"/>
      <c r="Q14" s="15">
        <v>653</v>
      </c>
      <c r="R14" s="15" t="s">
        <v>66</v>
      </c>
      <c r="S14" s="15"/>
      <c r="T14" s="15" t="e">
        <f>Q14+N14+#REF!+K14</f>
        <v>#REF!</v>
      </c>
      <c r="U14" s="15"/>
      <c r="V14" s="15"/>
      <c r="W14" s="15"/>
      <c r="X14" s="15"/>
      <c r="Y14" s="15"/>
      <c r="Z14" s="15"/>
      <c r="AA14" s="15"/>
    </row>
    <row r="15" s="3" customFormat="1" ht="33" customHeight="1" spans="1:27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35"/>
      <c r="L15" s="15"/>
      <c r="M15" s="15"/>
      <c r="N15" s="15"/>
      <c r="O15" s="33"/>
      <c r="P15" s="34"/>
      <c r="Q15" s="46"/>
      <c r="R15" s="15"/>
      <c r="S15" s="15"/>
      <c r="T15" s="15"/>
      <c r="U15" s="15"/>
      <c r="V15" s="15"/>
      <c r="W15" s="15"/>
      <c r="X15" s="17"/>
      <c r="Y15" s="17"/>
      <c r="Z15" s="17"/>
      <c r="AA15" s="17"/>
    </row>
    <row r="16" s="1" customFormat="1" ht="16.5" customHeight="1" spans="1:27">
      <c r="A16" s="18" t="s">
        <v>67</v>
      </c>
      <c r="B16" s="18"/>
      <c r="C16" s="18" t="s">
        <v>68</v>
      </c>
      <c r="D16" s="18"/>
      <c r="E16" s="18"/>
      <c r="F16" s="18"/>
      <c r="G16" s="18"/>
      <c r="H16" s="19" t="s">
        <v>69</v>
      </c>
      <c r="I16" s="36"/>
      <c r="J16" s="37"/>
      <c r="K16" s="38" t="s">
        <v>70</v>
      </c>
      <c r="L16" s="39"/>
      <c r="M16" s="39"/>
      <c r="N16" s="38" t="s">
        <v>70</v>
      </c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9"/>
    </row>
    <row r="17" s="1" customFormat="1" ht="16.5" customHeight="1" spans="1:27">
      <c r="A17" s="18"/>
      <c r="B17" s="18"/>
      <c r="C17" s="18"/>
      <c r="D17" s="18"/>
      <c r="E17" s="18"/>
      <c r="F17" s="18"/>
      <c r="G17" s="18"/>
      <c r="H17" s="19"/>
      <c r="I17" s="39"/>
      <c r="J17" s="39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50"/>
    </row>
    <row r="18" s="1" customFormat="1" ht="16.5" customHeight="1" spans="1:27">
      <c r="A18" s="20" t="s">
        <v>71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="1" customFormat="1" ht="16.5" customHeight="1" spans="1:27">
      <c r="A19" s="4" t="s">
        <v>72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="1" customFormat="1" ht="16.5" customHeight="1" spans="1:27">
      <c r="A20" s="4" t="s">
        <v>73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="1" customFormat="1" ht="16.5" customHeight="1" spans="1:27">
      <c r="A21" s="4" t="s">
        <v>74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="1" customFormat="1" ht="16.5" customHeight="1" spans="1:27">
      <c r="A22" s="4" t="s">
        <v>75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8" s="1" customFormat="1" spans="15:26"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33" s="1" customFormat="1" spans="15:26"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</sheetData>
  <mergeCells count="28">
    <mergeCell ref="F2:M2"/>
    <mergeCell ref="B4:F4"/>
    <mergeCell ref="B5:G5"/>
    <mergeCell ref="I5:K5"/>
    <mergeCell ref="L13:M13"/>
    <mergeCell ref="O13:P13"/>
    <mergeCell ref="R13:S13"/>
    <mergeCell ref="L14:M14"/>
    <mergeCell ref="O14:P14"/>
    <mergeCell ref="R14:S14"/>
    <mergeCell ref="O15:P15"/>
    <mergeCell ref="I16:J16"/>
    <mergeCell ref="I17:J17"/>
    <mergeCell ref="A18:AA18"/>
    <mergeCell ref="A19:AA19"/>
    <mergeCell ref="A20:AA20"/>
    <mergeCell ref="A21:AA21"/>
    <mergeCell ref="A22:AA22"/>
    <mergeCell ref="A7:A12"/>
    <mergeCell ref="B7:B12"/>
    <mergeCell ref="K7:K12"/>
    <mergeCell ref="N7:N12"/>
    <mergeCell ref="Q7:Q12"/>
    <mergeCell ref="T7:T12"/>
    <mergeCell ref="U7:U12"/>
    <mergeCell ref="V7:V12"/>
    <mergeCell ref="A16:B17"/>
    <mergeCell ref="C16:G17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陈立旺</cp:lastModifiedBy>
  <dcterms:created xsi:type="dcterms:W3CDTF">2024-01-29T06:29:00Z</dcterms:created>
  <dcterms:modified xsi:type="dcterms:W3CDTF">2024-12-03T14:10:43Z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204A834651CB4F11B9DD52C1DC6EBD03_13</vt:lpwstr>
  </property>
  <property fmtid="{D5CDD505-2E9C-101B-9397-08002B2CF9AE}" pid="3" name="KSOProductBuildVer">
    <vt:lpwstr>2052-12.1.0.18912</vt:lpwstr>
  </property>
</Properties>
</file>